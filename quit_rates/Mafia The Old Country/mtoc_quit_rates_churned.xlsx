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ak.Marshall\Documents\GitHub\GamesOnSpreadsheets\quit_rates\Mafia The Old Country\"/>
    </mc:Choice>
  </mc:AlternateContent>
  <xr:revisionPtr revIDLastSave="0" documentId="13_ncr:1_{F484C12A-A476-4F07-BC6B-1CE78F56A611}" xr6:coauthVersionLast="47" xr6:coauthVersionMax="47" xr10:uidLastSave="{00000000-0000-0000-0000-000000000000}"/>
  <bookViews>
    <workbookView xWindow="3510" yWindow="3510" windowWidth="2787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17" i="1" s="1"/>
  <c r="J7" i="1"/>
  <c r="J8" i="1"/>
  <c r="J9" i="1"/>
  <c r="J10" i="1"/>
  <c r="J11" i="1"/>
  <c r="J12" i="1"/>
  <c r="J13" i="1"/>
  <c r="J14" i="1"/>
  <c r="J15" i="1"/>
  <c r="J16" i="1"/>
  <c r="J2" i="1"/>
  <c r="D17" i="1"/>
  <c r="E17" i="1" s="1"/>
  <c r="F17" i="1"/>
  <c r="H2" i="1"/>
  <c r="H3" i="1"/>
  <c r="H4" i="1"/>
  <c r="H5" i="1"/>
  <c r="H6" i="1"/>
  <c r="H17" i="1" s="1"/>
  <c r="I5" i="1" s="1"/>
  <c r="H7" i="1"/>
  <c r="H8" i="1"/>
  <c r="H9" i="1"/>
  <c r="H10" i="1"/>
  <c r="H11" i="1"/>
  <c r="H12" i="1"/>
  <c r="H13" i="1"/>
  <c r="H14" i="1"/>
  <c r="H15" i="1"/>
  <c r="H16" i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3" i="1"/>
  <c r="E3" i="1" s="1"/>
  <c r="D2" i="1"/>
  <c r="E2" i="1" s="1"/>
  <c r="I8" i="1" l="1"/>
  <c r="I6" i="1"/>
  <c r="I7" i="1"/>
  <c r="I13" i="1"/>
  <c r="I4" i="1"/>
  <c r="I2" i="1"/>
  <c r="I14" i="1"/>
  <c r="I10" i="1"/>
  <c r="I3" i="1"/>
  <c r="I16" i="1"/>
  <c r="I15" i="1"/>
  <c r="I12" i="1"/>
  <c r="I11" i="1"/>
  <c r="I9" i="1"/>
</calcChain>
</file>

<file path=xl/sharedStrings.xml><?xml version="1.0" encoding="utf-8"?>
<sst xmlns="http://schemas.openxmlformats.org/spreadsheetml/2006/main" count="42" uniqueCount="27">
  <si>
    <t>chapter_name</t>
  </si>
  <si>
    <t>chapter_no</t>
  </si>
  <si>
    <t>quit_rate</t>
  </si>
  <si>
    <t>quit_rate_pc</t>
  </si>
  <si>
    <t>0. Prologue</t>
  </si>
  <si>
    <t>1. Vineyard</t>
  </si>
  <si>
    <t>2. Palio</t>
  </si>
  <si>
    <t>3. Extortion</t>
  </si>
  <si>
    <t>4. Ruins</t>
  </si>
  <si>
    <t>5. Villa</t>
  </si>
  <si>
    <t>6. Townhall</t>
  </si>
  <si>
    <t>7. Race</t>
  </si>
  <si>
    <t>8. Tannery</t>
  </si>
  <si>
    <t>9. Strike</t>
  </si>
  <si>
    <t>10. Parade</t>
  </si>
  <si>
    <t>11. Tonnara</t>
  </si>
  <si>
    <t>12. Opera</t>
  </si>
  <si>
    <t>13. Kill Captains</t>
  </si>
  <si>
    <t>14. Showdown</t>
  </si>
  <si>
    <t>Completers</t>
  </si>
  <si>
    <t>pc</t>
  </si>
  <si>
    <t>Average Completion Time</t>
  </si>
  <si>
    <t>quit_rate_adjusted_2</t>
  </si>
  <si>
    <t>quit_rate_adjusted</t>
  </si>
  <si>
    <t>Chapter</t>
  </si>
  <si>
    <t>Average Completion Time (mins)</t>
  </si>
  <si>
    <t>quit_rate_adjusted_fin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</si>
</sst>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J2" sqref="J2:J16"/>
    </sheetView>
  </sheetViews>
  <sheetFormatPr defaultRowHeight="15" x14ac:dyDescent="0.25"/>
  <cols>
    <col min="1" max="1" width="15.85546875" bestFit="1" customWidth="1"/>
    <col min="2" max="2" width="36.5703125" bestFit="1" customWidth="1"/>
    <col min="3" max="3" width="15.140625" customWidth="1"/>
    <col min="6" max="6" width="12.140625" bestFit="1" customWidth="1"/>
    <col min="10" max="10" width="20.42578125" bestFit="1" customWidth="1"/>
  </cols>
  <sheetData>
    <row r="1" spans="1:15" x14ac:dyDescent="0.25">
      <c r="A1" t="s">
        <v>1</v>
      </c>
      <c r="B1" t="s">
        <v>0</v>
      </c>
      <c r="C1" t="s">
        <v>19</v>
      </c>
      <c r="D1" t="s">
        <v>20</v>
      </c>
      <c r="E1" t="s">
        <v>2</v>
      </c>
      <c r="F1" t="s">
        <v>3</v>
      </c>
      <c r="G1" t="s">
        <v>21</v>
      </c>
      <c r="H1" t="s">
        <v>22</v>
      </c>
      <c r="I1" t="s">
        <v>23</v>
      </c>
      <c r="J1" t="s">
        <v>26</v>
      </c>
      <c r="M1" t="s">
        <v>24</v>
      </c>
      <c r="N1" t="s">
        <v>25</v>
      </c>
    </row>
    <row r="2" spans="1:15" x14ac:dyDescent="0.25">
      <c r="A2">
        <v>1</v>
      </c>
      <c r="B2" t="s">
        <v>4</v>
      </c>
      <c r="C2">
        <v>771721</v>
      </c>
      <c r="D2" s="1">
        <f>C2/K4</f>
        <v>0.96905804144346419</v>
      </c>
      <c r="E2" s="1">
        <f>(1-D2)</f>
        <v>3.0941958556535809E-2</v>
      </c>
      <c r="F2" s="2">
        <v>3.0941958556535799E-2</v>
      </c>
      <c r="G2">
        <v>41</v>
      </c>
      <c r="H2" s="3">
        <f>F2/G2</f>
        <v>7.5468191601306823E-4</v>
      </c>
      <c r="I2" s="2">
        <f>H2/$H$17</f>
        <v>0.10304156923330646</v>
      </c>
      <c r="J2" s="1">
        <f>I2*0.36</f>
        <v>3.7094964923990323E-2</v>
      </c>
      <c r="M2" t="s">
        <v>4</v>
      </c>
      <c r="N2">
        <v>41</v>
      </c>
      <c r="O2" s="2">
        <v>0.05</v>
      </c>
    </row>
    <row r="3" spans="1:15" x14ac:dyDescent="0.25">
      <c r="A3">
        <v>2</v>
      </c>
      <c r="B3" t="s">
        <v>5</v>
      </c>
      <c r="C3">
        <v>749254</v>
      </c>
      <c r="D3" s="1">
        <f t="shared" ref="D3:D16" si="0">C3/C2</f>
        <v>0.97088714703889101</v>
      </c>
      <c r="E3" s="1">
        <f t="shared" ref="E3:E17" si="1">(1-D3)</f>
        <v>2.9112852961108993E-2</v>
      </c>
      <c r="F3" s="2">
        <v>2.9112852961108993E-2</v>
      </c>
      <c r="G3">
        <v>44</v>
      </c>
      <c r="H3" s="3">
        <f t="shared" ref="H3:H16" si="2">F3/G3</f>
        <v>6.6165574911611347E-4</v>
      </c>
      <c r="I3" s="2">
        <f t="shared" ref="I3:I16" si="3">H3/$H$17</f>
        <v>9.0340109169891214E-2</v>
      </c>
      <c r="J3" s="1">
        <f t="shared" ref="J3:J16" si="4">I3*0.36</f>
        <v>3.2522439301160833E-2</v>
      </c>
      <c r="M3" t="s">
        <v>5</v>
      </c>
      <c r="N3">
        <v>44</v>
      </c>
      <c r="O3" s="2">
        <v>0.05</v>
      </c>
    </row>
    <row r="4" spans="1:15" x14ac:dyDescent="0.25">
      <c r="A4">
        <v>3</v>
      </c>
      <c r="B4" t="s">
        <v>6</v>
      </c>
      <c r="C4">
        <v>729228</v>
      </c>
      <c r="D4" s="1">
        <f t="shared" si="0"/>
        <v>0.97327208129686327</v>
      </c>
      <c r="E4" s="1">
        <f t="shared" si="1"/>
        <v>2.6727918703136733E-2</v>
      </c>
      <c r="F4" s="2">
        <v>2.6727918703136733E-2</v>
      </c>
      <c r="G4">
        <v>51</v>
      </c>
      <c r="H4" s="3">
        <f t="shared" si="2"/>
        <v>5.2407683731640648E-4</v>
      </c>
      <c r="I4" s="2">
        <f t="shared" si="3"/>
        <v>7.1555576687457934E-2</v>
      </c>
      <c r="J4" s="1">
        <f t="shared" si="4"/>
        <v>2.5760007607484856E-2</v>
      </c>
      <c r="K4">
        <v>796362</v>
      </c>
      <c r="M4" t="s">
        <v>6</v>
      </c>
      <c r="N4">
        <v>51</v>
      </c>
      <c r="O4" s="2">
        <v>0.06</v>
      </c>
    </row>
    <row r="5" spans="1:15" x14ac:dyDescent="0.25">
      <c r="A5">
        <v>4</v>
      </c>
      <c r="B5" t="s">
        <v>7</v>
      </c>
      <c r="C5">
        <v>692942</v>
      </c>
      <c r="D5" s="1">
        <f t="shared" si="0"/>
        <v>0.95024052833955908</v>
      </c>
      <c r="E5" s="1">
        <f t="shared" si="1"/>
        <v>4.9759471660440924E-2</v>
      </c>
      <c r="F5" s="2">
        <v>4.9759471660440924E-2</v>
      </c>
      <c r="G5">
        <v>83</v>
      </c>
      <c r="H5" s="3">
        <f t="shared" si="2"/>
        <v>5.9951170675230029E-4</v>
      </c>
      <c r="I5" s="2">
        <f t="shared" si="3"/>
        <v>8.185518392152008E-2</v>
      </c>
      <c r="J5" s="1">
        <f t="shared" si="4"/>
        <v>2.9467866211747226E-2</v>
      </c>
      <c r="M5" t="s">
        <v>7</v>
      </c>
      <c r="N5">
        <v>83</v>
      </c>
      <c r="O5" s="2">
        <v>0.09</v>
      </c>
    </row>
    <row r="6" spans="1:15" x14ac:dyDescent="0.25">
      <c r="A6">
        <v>5</v>
      </c>
      <c r="B6" t="s">
        <v>8</v>
      </c>
      <c r="C6">
        <v>665939</v>
      </c>
      <c r="D6" s="1">
        <f t="shared" si="0"/>
        <v>0.96103137059090082</v>
      </c>
      <c r="E6" s="1">
        <f t="shared" si="1"/>
        <v>3.8968629409099176E-2</v>
      </c>
      <c r="F6" s="2">
        <v>3.8968629409099176E-2</v>
      </c>
      <c r="G6">
        <v>80</v>
      </c>
      <c r="H6" s="3">
        <f t="shared" si="2"/>
        <v>4.8710786761373972E-4</v>
      </c>
      <c r="I6" s="2">
        <f t="shared" si="3"/>
        <v>6.6507965806272606E-2</v>
      </c>
      <c r="J6" s="1">
        <f t="shared" si="4"/>
        <v>2.3942867690258138E-2</v>
      </c>
      <c r="M6" t="s">
        <v>8</v>
      </c>
      <c r="N6">
        <v>80</v>
      </c>
      <c r="O6" s="2">
        <v>0.09</v>
      </c>
    </row>
    <row r="7" spans="1:15" x14ac:dyDescent="0.25">
      <c r="A7">
        <v>6</v>
      </c>
      <c r="B7" t="s">
        <v>9</v>
      </c>
      <c r="C7">
        <v>630391</v>
      </c>
      <c r="D7" s="1">
        <f t="shared" si="0"/>
        <v>0.94661973544123412</v>
      </c>
      <c r="E7" s="1">
        <f t="shared" si="1"/>
        <v>5.3380264558765878E-2</v>
      </c>
      <c r="F7" s="2">
        <v>5.3380264558765878E-2</v>
      </c>
      <c r="G7">
        <v>88</v>
      </c>
      <c r="H7" s="3">
        <f t="shared" si="2"/>
        <v>6.0659391544052135E-4</v>
      </c>
      <c r="I7" s="2">
        <f t="shared" si="3"/>
        <v>8.2822163361980686E-2</v>
      </c>
      <c r="J7" s="1">
        <f t="shared" si="4"/>
        <v>2.9815978810313046E-2</v>
      </c>
      <c r="M7" t="s">
        <v>9</v>
      </c>
      <c r="N7">
        <v>88</v>
      </c>
      <c r="O7" s="2">
        <v>0.1</v>
      </c>
    </row>
    <row r="8" spans="1:15" x14ac:dyDescent="0.25">
      <c r="A8">
        <v>7</v>
      </c>
      <c r="B8" t="s">
        <v>10</v>
      </c>
      <c r="C8">
        <v>609585</v>
      </c>
      <c r="D8" s="1">
        <f t="shared" si="0"/>
        <v>0.9669950871760542</v>
      </c>
      <c r="E8" s="1">
        <f t="shared" si="1"/>
        <v>3.3004912823945798E-2</v>
      </c>
      <c r="F8" s="2">
        <v>3.3004912823945798E-2</v>
      </c>
      <c r="G8">
        <v>72</v>
      </c>
      <c r="H8" s="3">
        <f t="shared" si="2"/>
        <v>4.5840156699924719E-4</v>
      </c>
      <c r="I8" s="2">
        <f t="shared" si="3"/>
        <v>6.2588510205922543E-2</v>
      </c>
      <c r="J8" s="1">
        <f t="shared" si="4"/>
        <v>2.2531863674132114E-2</v>
      </c>
      <c r="M8" t="s">
        <v>10</v>
      </c>
      <c r="N8">
        <v>72</v>
      </c>
      <c r="O8" s="2">
        <v>0.08</v>
      </c>
    </row>
    <row r="9" spans="1:15" x14ac:dyDescent="0.25">
      <c r="A9">
        <v>8</v>
      </c>
      <c r="B9" t="s">
        <v>11</v>
      </c>
      <c r="C9">
        <v>589388</v>
      </c>
      <c r="D9" s="1">
        <f t="shared" si="0"/>
        <v>0.96686762305502927</v>
      </c>
      <c r="E9" s="1">
        <f t="shared" si="1"/>
        <v>3.3132376944970732E-2</v>
      </c>
      <c r="F9" s="2">
        <v>3.3132376944970732E-2</v>
      </c>
      <c r="G9">
        <v>51</v>
      </c>
      <c r="H9" s="3">
        <f t="shared" si="2"/>
        <v>6.4965444990138692E-4</v>
      </c>
      <c r="I9" s="2">
        <f t="shared" si="3"/>
        <v>8.8701494705062223E-2</v>
      </c>
      <c r="J9" s="1">
        <f t="shared" si="4"/>
        <v>3.1932538093822398E-2</v>
      </c>
      <c r="M9" t="s">
        <v>11</v>
      </c>
      <c r="N9">
        <v>51</v>
      </c>
      <c r="O9" s="2">
        <v>0.06</v>
      </c>
    </row>
    <row r="10" spans="1:15" x14ac:dyDescent="0.25">
      <c r="A10">
        <v>9</v>
      </c>
      <c r="B10" t="s">
        <v>12</v>
      </c>
      <c r="C10">
        <v>573438</v>
      </c>
      <c r="D10" s="1">
        <f t="shared" si="0"/>
        <v>0.97293803063516737</v>
      </c>
      <c r="E10" s="1">
        <f t="shared" si="1"/>
        <v>2.7061969364832628E-2</v>
      </c>
      <c r="F10" s="2">
        <v>2.7061969364832628E-2</v>
      </c>
      <c r="G10">
        <v>41</v>
      </c>
      <c r="H10" s="3">
        <f t="shared" si="2"/>
        <v>6.6004803328860071E-4</v>
      </c>
      <c r="I10" s="2">
        <f t="shared" si="3"/>
        <v>9.0120597401776623E-2</v>
      </c>
      <c r="J10" s="1">
        <f t="shared" si="4"/>
        <v>3.2443415064639582E-2</v>
      </c>
      <c r="M10" t="s">
        <v>12</v>
      </c>
      <c r="N10">
        <v>41</v>
      </c>
      <c r="O10" s="2">
        <v>0.05</v>
      </c>
    </row>
    <row r="11" spans="1:15" x14ac:dyDescent="0.25">
      <c r="A11">
        <v>10</v>
      </c>
      <c r="B11" t="s">
        <v>13</v>
      </c>
      <c r="C11">
        <v>553586</v>
      </c>
      <c r="D11" s="1">
        <f t="shared" si="0"/>
        <v>0.96538073863259843</v>
      </c>
      <c r="E11" s="1">
        <f t="shared" si="1"/>
        <v>3.4619261367401566E-2</v>
      </c>
      <c r="F11" s="2">
        <v>3.4619261367401566E-2</v>
      </c>
      <c r="G11">
        <v>70</v>
      </c>
      <c r="H11" s="3">
        <f t="shared" si="2"/>
        <v>4.9456087667716522E-4</v>
      </c>
      <c r="I11" s="2">
        <f t="shared" si="3"/>
        <v>6.7525573003570441E-2</v>
      </c>
      <c r="J11" s="1">
        <f t="shared" si="4"/>
        <v>2.4309206281285359E-2</v>
      </c>
      <c r="M11" t="s">
        <v>13</v>
      </c>
      <c r="N11">
        <v>70</v>
      </c>
      <c r="O11" s="2">
        <v>0.08</v>
      </c>
    </row>
    <row r="12" spans="1:15" x14ac:dyDescent="0.25">
      <c r="A12">
        <v>11</v>
      </c>
      <c r="B12" t="s">
        <v>14</v>
      </c>
      <c r="C12">
        <v>549954</v>
      </c>
      <c r="D12" s="1">
        <f t="shared" si="0"/>
        <v>0.99343914044069037</v>
      </c>
      <c r="E12" s="1">
        <f t="shared" si="1"/>
        <v>6.5608595593096286E-3</v>
      </c>
      <c r="F12" s="2">
        <v>6.5608595593096286E-3</v>
      </c>
      <c r="G12">
        <v>37</v>
      </c>
      <c r="H12" s="3">
        <f t="shared" si="2"/>
        <v>1.7732052862998995E-4</v>
      </c>
      <c r="I12" s="2">
        <f t="shared" si="3"/>
        <v>2.4210710684363635E-2</v>
      </c>
      <c r="J12" s="1">
        <f t="shared" si="4"/>
        <v>8.7158558463709089E-3</v>
      </c>
      <c r="M12" t="s">
        <v>14</v>
      </c>
      <c r="N12">
        <v>37</v>
      </c>
      <c r="O12" s="2">
        <v>0.04</v>
      </c>
    </row>
    <row r="13" spans="1:15" x14ac:dyDescent="0.25">
      <c r="A13">
        <v>12</v>
      </c>
      <c r="B13" t="s">
        <v>15</v>
      </c>
      <c r="C13">
        <v>543234</v>
      </c>
      <c r="D13" s="1">
        <f t="shared" si="0"/>
        <v>0.98778079621204684</v>
      </c>
      <c r="E13" s="1">
        <f t="shared" si="1"/>
        <v>1.2219203787953159E-2</v>
      </c>
      <c r="F13" s="2">
        <v>1.2219203787953159E-2</v>
      </c>
      <c r="G13">
        <v>47</v>
      </c>
      <c r="H13" s="3">
        <f t="shared" si="2"/>
        <v>2.5998305931815231E-4</v>
      </c>
      <c r="I13" s="2">
        <f t="shared" si="3"/>
        <v>3.5497156931681831E-2</v>
      </c>
      <c r="J13" s="1">
        <f t="shared" si="4"/>
        <v>1.2778976495405459E-2</v>
      </c>
      <c r="M13" t="s">
        <v>15</v>
      </c>
      <c r="N13">
        <v>47</v>
      </c>
      <c r="O13" s="2">
        <v>0.05</v>
      </c>
    </row>
    <row r="14" spans="1:15" x14ac:dyDescent="0.25">
      <c r="A14">
        <v>13</v>
      </c>
      <c r="B14" t="s">
        <v>16</v>
      </c>
      <c r="C14">
        <v>534203</v>
      </c>
      <c r="D14" s="1">
        <f t="shared" si="0"/>
        <v>0.98337548827945231</v>
      </c>
      <c r="E14" s="1">
        <f t="shared" si="1"/>
        <v>1.6624511720547686E-2</v>
      </c>
      <c r="F14" s="2">
        <v>1.6624511720547686E-2</v>
      </c>
      <c r="G14">
        <v>70</v>
      </c>
      <c r="H14" s="3">
        <f t="shared" si="2"/>
        <v>2.3749302457925264E-4</v>
      </c>
      <c r="I14" s="2">
        <f t="shared" si="3"/>
        <v>3.242644803772754E-2</v>
      </c>
      <c r="J14" s="1">
        <f t="shared" si="4"/>
        <v>1.1673521293581913E-2</v>
      </c>
      <c r="M14" t="s">
        <v>16</v>
      </c>
      <c r="N14">
        <v>70</v>
      </c>
      <c r="O14" s="2">
        <v>0.08</v>
      </c>
    </row>
    <row r="15" spans="1:15" x14ac:dyDescent="0.25">
      <c r="A15">
        <v>14</v>
      </c>
      <c r="B15" t="s">
        <v>17</v>
      </c>
      <c r="C15">
        <v>519039</v>
      </c>
      <c r="D15" s="1">
        <f t="shared" si="0"/>
        <v>0.97161378726813585</v>
      </c>
      <c r="E15" s="1">
        <f t="shared" si="1"/>
        <v>2.8386212731864147E-2</v>
      </c>
      <c r="F15" s="2">
        <v>2.8386212731864147E-2</v>
      </c>
      <c r="G15">
        <v>61</v>
      </c>
      <c r="H15" s="3">
        <f t="shared" si="2"/>
        <v>4.6534774970269095E-4</v>
      </c>
      <c r="I15" s="2">
        <f t="shared" si="3"/>
        <v>6.353691714500137E-2</v>
      </c>
      <c r="J15" s="1">
        <f t="shared" si="4"/>
        <v>2.2873290172200491E-2</v>
      </c>
      <c r="M15" t="s">
        <v>17</v>
      </c>
      <c r="N15">
        <v>61</v>
      </c>
      <c r="O15" s="2">
        <v>7.0000000000000007E-2</v>
      </c>
    </row>
    <row r="16" spans="1:15" x14ac:dyDescent="0.25">
      <c r="A16">
        <v>15</v>
      </c>
      <c r="B16" t="s">
        <v>18</v>
      </c>
      <c r="C16">
        <v>507992</v>
      </c>
      <c r="D16" s="1">
        <f t="shared" si="0"/>
        <v>0.9787164355664989</v>
      </c>
      <c r="E16" s="1">
        <f t="shared" si="1"/>
        <v>2.1283564433501101E-2</v>
      </c>
      <c r="F16" s="2">
        <v>2.1283564433501101E-2</v>
      </c>
      <c r="G16">
        <v>74</v>
      </c>
      <c r="H16" s="3">
        <f t="shared" si="2"/>
        <v>2.8761573558785269E-4</v>
      </c>
      <c r="I16" s="2">
        <f t="shared" si="3"/>
        <v>3.9270023704464779E-2</v>
      </c>
      <c r="J16" s="1">
        <f t="shared" si="4"/>
        <v>1.413720853360732E-2</v>
      </c>
      <c r="M16" t="s">
        <v>18</v>
      </c>
      <c r="N16">
        <v>74</v>
      </c>
      <c r="O16" s="2">
        <v>0.08</v>
      </c>
    </row>
    <row r="17" spans="4:14" x14ac:dyDescent="0.25">
      <c r="D17" s="1">
        <f>PRODUCT(D2:D16)</f>
        <v>0.6378908084514332</v>
      </c>
      <c r="E17" s="1">
        <f t="shared" si="1"/>
        <v>0.3621091915485668</v>
      </c>
      <c r="F17" s="2">
        <f>SUM(F2:F16)</f>
        <v>0.44178396858341396</v>
      </c>
      <c r="H17" s="2">
        <f>SUM(H2:H16)</f>
        <v>7.3240530169364883E-3</v>
      </c>
      <c r="I17" s="2">
        <v>1</v>
      </c>
      <c r="J17" s="2">
        <f>SUM(J2:J16)</f>
        <v>0.36</v>
      </c>
      <c r="N17">
        <v>910</v>
      </c>
    </row>
    <row r="18" spans="4:14" x14ac:dyDescent="0.25">
      <c r="E18" s="1"/>
      <c r="F18" s="2"/>
    </row>
    <row r="19" spans="4:14" x14ac:dyDescent="0.25">
      <c r="E19" s="1"/>
      <c r="F19" s="2"/>
    </row>
    <row r="20" spans="4:14" x14ac:dyDescent="0.25">
      <c r="E20" s="1"/>
      <c r="F20" s="2"/>
    </row>
    <row r="21" spans="4:14" x14ac:dyDescent="0.25">
      <c r="E21" s="1"/>
      <c r="F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 Marshall (Hangar 13 Games)</dc:creator>
  <cp:lastModifiedBy>Jak Marshall (Hangar 13 Games)</cp:lastModifiedBy>
  <dcterms:created xsi:type="dcterms:W3CDTF">2015-06-05T18:17:20Z</dcterms:created>
  <dcterms:modified xsi:type="dcterms:W3CDTF">2025-09-09T13:59:29Z</dcterms:modified>
</cp:coreProperties>
</file>