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Jak.Marshall\Documents\GitHub\GamesOnSpreadsheets\quit_rates\Mafia The Old Country\"/>
    </mc:Choice>
  </mc:AlternateContent>
  <xr:revisionPtr revIDLastSave="0" documentId="13_ncr:1_{844ED6DC-E954-4ECC-BEE8-3571A1CEB538}" xr6:coauthVersionLast="47" xr6:coauthVersionMax="47" xr10:uidLastSave="{00000000-0000-0000-0000-000000000000}"/>
  <bookViews>
    <workbookView xWindow="3510" yWindow="3510" windowWidth="27870" windowHeight="153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7" i="1" s="1"/>
  <c r="H11" i="1"/>
  <c r="H12" i="1"/>
  <c r="H13" i="1"/>
  <c r="H14" i="1"/>
  <c r="H15" i="1"/>
  <c r="H16" i="1"/>
  <c r="H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2" i="1"/>
  <c r="N17" i="1"/>
  <c r="E4" i="1"/>
  <c r="D4" i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3" i="1"/>
  <c r="E3" i="1" s="1"/>
  <c r="D2" i="1"/>
  <c r="E2" i="1" s="1"/>
  <c r="I4" i="1" l="1"/>
  <c r="I9" i="1"/>
  <c r="I7" i="1"/>
  <c r="I5" i="1"/>
  <c r="I6" i="1"/>
  <c r="I16" i="1"/>
  <c r="I14" i="1"/>
  <c r="I12" i="1"/>
  <c r="I10" i="1"/>
  <c r="I3" i="1"/>
  <c r="I2" i="1"/>
  <c r="I15" i="1"/>
  <c r="I13" i="1"/>
  <c r="I11" i="1"/>
  <c r="I8" i="1"/>
  <c r="I17" i="1" l="1"/>
</calcChain>
</file>

<file path=xl/sharedStrings.xml><?xml version="1.0" encoding="utf-8"?>
<sst xmlns="http://schemas.openxmlformats.org/spreadsheetml/2006/main" count="41" uniqueCount="26">
  <si>
    <t>chapter_name</t>
  </si>
  <si>
    <t>chapter_no</t>
  </si>
  <si>
    <t>quit_rate</t>
  </si>
  <si>
    <t>quit_rate_pc</t>
  </si>
  <si>
    <t>0. Prologue</t>
  </si>
  <si>
    <t>1. Vineyard</t>
  </si>
  <si>
    <t>2. Palio</t>
  </si>
  <si>
    <t>3. Extortion</t>
  </si>
  <si>
    <t>4. Ruins</t>
  </si>
  <si>
    <t>5. Villa</t>
  </si>
  <si>
    <t>6. Townhall</t>
  </si>
  <si>
    <t>7. Race</t>
  </si>
  <si>
    <t>8. Tannery</t>
  </si>
  <si>
    <t>9. Strike</t>
  </si>
  <si>
    <t>10. Parade</t>
  </si>
  <si>
    <t>11. Tonnara</t>
  </si>
  <si>
    <t>12. Opera</t>
  </si>
  <si>
    <t>13. Kill Captains</t>
  </si>
  <si>
    <t>14. Showdown</t>
  </si>
  <si>
    <t>Completers</t>
  </si>
  <si>
    <t>pc</t>
  </si>
  <si>
    <t>Average Completion Time</t>
  </si>
  <si>
    <t>Chapter</t>
  </si>
  <si>
    <t>Average Completion Time (mins)</t>
  </si>
  <si>
    <t>quit_rate_adjusted</t>
  </si>
  <si>
    <t>quit_rate_adjusted_2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</si>
</sst>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9" fontId="0" fillId="0" borderId="0" xfId="1" applyFont="1"/>
    <xf numFmtId="9" fontId="0" fillId="0" borderId="0" xfId="0" applyNumberFormat="1"/>
    <xf numFmtId="168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Sheet1!$N$1</c:f>
              <c:strCache>
                <c:ptCount val="1"/>
                <c:pt idx="0">
                  <c:v>Average Completion Time (mins)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Sheet1!$M$2:$M$16</c:f>
              <c:strCache>
                <c:ptCount val="15"/>
                <c:pt idx="0">
                  <c:v>0. Prologue</c:v>
                </c:pt>
                <c:pt idx="1">
                  <c:v>1. Vineyard</c:v>
                </c:pt>
                <c:pt idx="2">
                  <c:v>2. Palio</c:v>
                </c:pt>
                <c:pt idx="3">
                  <c:v>3. Extortion</c:v>
                </c:pt>
                <c:pt idx="4">
                  <c:v>4. Ruins</c:v>
                </c:pt>
                <c:pt idx="5">
                  <c:v>5. Villa</c:v>
                </c:pt>
                <c:pt idx="6">
                  <c:v>6. Townhall</c:v>
                </c:pt>
                <c:pt idx="7">
                  <c:v>7. Race</c:v>
                </c:pt>
                <c:pt idx="8">
                  <c:v>8. Tannery</c:v>
                </c:pt>
                <c:pt idx="9">
                  <c:v>9. Strike</c:v>
                </c:pt>
                <c:pt idx="10">
                  <c:v>10. Parade</c:v>
                </c:pt>
                <c:pt idx="11">
                  <c:v>11. Tonnara</c:v>
                </c:pt>
                <c:pt idx="12">
                  <c:v>12. Opera</c:v>
                </c:pt>
                <c:pt idx="13">
                  <c:v>13. Kill Captains</c:v>
                </c:pt>
                <c:pt idx="14">
                  <c:v>14. Showdown</c:v>
                </c:pt>
              </c:strCache>
            </c:strRef>
          </c:cat>
          <c:val>
            <c:numRef>
              <c:f>Sheet1!$N$2:$N$16</c:f>
              <c:numCache>
                <c:formatCode>General</c:formatCode>
                <c:ptCount val="15"/>
                <c:pt idx="0">
                  <c:v>41</c:v>
                </c:pt>
                <c:pt idx="1">
                  <c:v>44</c:v>
                </c:pt>
                <c:pt idx="2">
                  <c:v>51</c:v>
                </c:pt>
                <c:pt idx="3">
                  <c:v>83</c:v>
                </c:pt>
                <c:pt idx="4">
                  <c:v>80</c:v>
                </c:pt>
                <c:pt idx="5">
                  <c:v>88</c:v>
                </c:pt>
                <c:pt idx="6">
                  <c:v>72</c:v>
                </c:pt>
                <c:pt idx="7">
                  <c:v>51</c:v>
                </c:pt>
                <c:pt idx="8">
                  <c:v>41</c:v>
                </c:pt>
                <c:pt idx="9">
                  <c:v>70</c:v>
                </c:pt>
                <c:pt idx="10">
                  <c:v>37</c:v>
                </c:pt>
                <c:pt idx="11">
                  <c:v>47</c:v>
                </c:pt>
                <c:pt idx="12">
                  <c:v>70</c:v>
                </c:pt>
                <c:pt idx="13">
                  <c:v>61</c:v>
                </c:pt>
                <c:pt idx="14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CF-4A18-B377-E6C7C4C370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2871663"/>
        <c:axId val="942870703"/>
      </c:barChart>
      <c:catAx>
        <c:axId val="942871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870703"/>
        <c:crosses val="autoZero"/>
        <c:auto val="1"/>
        <c:lblAlgn val="ctr"/>
        <c:lblOffset val="100"/>
        <c:noMultiLvlLbl val="0"/>
      </c:catAx>
      <c:valAx>
        <c:axId val="942870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871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533399</xdr:colOff>
      <xdr:row>22</xdr:row>
      <xdr:rowOff>95249</xdr:rowOff>
    </xdr:from>
    <xdr:to>
      <xdr:col>14</xdr:col>
      <xdr:colOff>361950</xdr:colOff>
      <xdr:row>47</xdr:row>
      <xdr:rowOff>104774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D3C09C-CCA7-AC1C-3010-066F31C540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tabSelected="1" workbookViewId="0">
      <selection activeCell="I20" sqref="I20"/>
    </sheetView>
  </sheetViews>
  <sheetFormatPr defaultRowHeight="15" x14ac:dyDescent="0.25"/>
  <cols>
    <col min="1" max="1" width="15.85546875" bestFit="1" customWidth="1"/>
    <col min="2" max="2" width="36.5703125" bestFit="1" customWidth="1"/>
    <col min="3" max="3" width="15.140625" customWidth="1"/>
    <col min="6" max="6" width="12.140625" bestFit="1" customWidth="1"/>
    <col min="8" max="9" width="20.42578125" bestFit="1" customWidth="1"/>
  </cols>
  <sheetData>
    <row r="1" spans="1:15" x14ac:dyDescent="0.25">
      <c r="A1" t="s">
        <v>1</v>
      </c>
      <c r="B1" t="s">
        <v>0</v>
      </c>
      <c r="C1" t="s">
        <v>19</v>
      </c>
      <c r="D1" t="s">
        <v>20</v>
      </c>
      <c r="E1" t="s">
        <v>2</v>
      </c>
      <c r="F1" t="s">
        <v>3</v>
      </c>
      <c r="G1" t="s">
        <v>21</v>
      </c>
      <c r="H1" t="s">
        <v>25</v>
      </c>
      <c r="I1" t="s">
        <v>24</v>
      </c>
      <c r="M1" t="s">
        <v>22</v>
      </c>
      <c r="N1" t="s">
        <v>23</v>
      </c>
    </row>
    <row r="2" spans="1:15" x14ac:dyDescent="0.25">
      <c r="A2">
        <v>1</v>
      </c>
      <c r="B2" t="s">
        <v>4</v>
      </c>
      <c r="C2">
        <v>1446072</v>
      </c>
      <c r="D2" s="1">
        <f>C2/K4</f>
        <v>0.97365472663614328</v>
      </c>
      <c r="E2" s="1">
        <f>(1-D2)</f>
        <v>2.6345273363856725E-2</v>
      </c>
      <c r="F2" s="2">
        <v>2.6345273363856725E-2</v>
      </c>
      <c r="G2">
        <v>41</v>
      </c>
      <c r="H2" s="3">
        <f>F2/N2</f>
        <v>6.4256764302089578E-4</v>
      </c>
      <c r="I2" s="1">
        <f>H2/$H$17</f>
        <v>6.9807321429893168E-2</v>
      </c>
      <c r="M2" t="s">
        <v>4</v>
      </c>
      <c r="N2">
        <v>41</v>
      </c>
      <c r="O2" s="1">
        <f>N2/$N$17</f>
        <v>4.5054945054945054E-2</v>
      </c>
    </row>
    <row r="3" spans="1:15" x14ac:dyDescent="0.25">
      <c r="A3">
        <v>2</v>
      </c>
      <c r="B3" t="s">
        <v>5</v>
      </c>
      <c r="C3">
        <v>1406151</v>
      </c>
      <c r="D3" s="1">
        <f>C3/C2</f>
        <v>0.97239349078054205</v>
      </c>
      <c r="E3" s="1">
        <f t="shared" ref="E3:E16" si="0">(1-D3)</f>
        <v>2.7606509219457953E-2</v>
      </c>
      <c r="F3" s="2">
        <v>2.7606509219457953E-2</v>
      </c>
      <c r="G3">
        <v>44</v>
      </c>
      <c r="H3" s="3">
        <f t="shared" ref="H3:H16" si="1">F3/N3</f>
        <v>6.2742066407858981E-4</v>
      </c>
      <c r="I3" s="1">
        <f t="shared" ref="I3:I16" si="2">H3/$H$17</f>
        <v>6.8161782568418025E-2</v>
      </c>
      <c r="M3" t="s">
        <v>5</v>
      </c>
      <c r="N3">
        <v>44</v>
      </c>
      <c r="O3" s="1">
        <f t="shared" ref="O3:O16" si="3">N3/$N$17</f>
        <v>4.8351648351648353E-2</v>
      </c>
    </row>
    <row r="4" spans="1:15" x14ac:dyDescent="0.25">
      <c r="A4">
        <v>3</v>
      </c>
      <c r="B4" t="s">
        <v>6</v>
      </c>
      <c r="C4">
        <v>1369738</v>
      </c>
      <c r="D4" s="1">
        <f t="shared" ref="D4:D16" si="4">C4/C3</f>
        <v>0.97410448806707106</v>
      </c>
      <c r="E4" s="1">
        <f t="shared" si="0"/>
        <v>2.5895511932928938E-2</v>
      </c>
      <c r="F4" s="2">
        <v>2.5895511932928938E-2</v>
      </c>
      <c r="G4">
        <v>51</v>
      </c>
      <c r="H4" s="3">
        <f t="shared" si="1"/>
        <v>5.0775513593978312E-4</v>
      </c>
      <c r="I4" s="1">
        <f t="shared" si="2"/>
        <v>5.5161548153265634E-2</v>
      </c>
      <c r="K4">
        <v>1485200</v>
      </c>
      <c r="M4" t="s">
        <v>6</v>
      </c>
      <c r="N4">
        <v>51</v>
      </c>
      <c r="O4" s="1">
        <f t="shared" si="3"/>
        <v>5.6043956043956046E-2</v>
      </c>
    </row>
    <row r="5" spans="1:15" x14ac:dyDescent="0.25">
      <c r="A5">
        <v>4</v>
      </c>
      <c r="B5" t="s">
        <v>7</v>
      </c>
      <c r="C5">
        <v>1296128</v>
      </c>
      <c r="D5" s="1">
        <f t="shared" si="4"/>
        <v>0.9462597956689528</v>
      </c>
      <c r="E5" s="1">
        <f t="shared" si="0"/>
        <v>5.3740204331047203E-2</v>
      </c>
      <c r="F5" s="2">
        <v>5.3740204331047203E-2</v>
      </c>
      <c r="G5">
        <v>83</v>
      </c>
      <c r="H5" s="3">
        <f t="shared" si="1"/>
        <v>6.4747234133791806E-4</v>
      </c>
      <c r="I5" s="1">
        <f t="shared" si="2"/>
        <v>7.0340158487052454E-2</v>
      </c>
      <c r="M5" t="s">
        <v>7</v>
      </c>
      <c r="N5">
        <v>83</v>
      </c>
      <c r="O5" s="1">
        <f t="shared" si="3"/>
        <v>9.1208791208791204E-2</v>
      </c>
    </row>
    <row r="6" spans="1:15" x14ac:dyDescent="0.25">
      <c r="A6">
        <v>5</v>
      </c>
      <c r="B6" t="s">
        <v>8</v>
      </c>
      <c r="C6">
        <v>1236101</v>
      </c>
      <c r="D6" s="1">
        <f t="shared" si="4"/>
        <v>0.95368744444993092</v>
      </c>
      <c r="E6" s="1">
        <f t="shared" si="0"/>
        <v>4.6312555550069079E-2</v>
      </c>
      <c r="F6" s="2">
        <v>4.6312555550069079E-2</v>
      </c>
      <c r="G6">
        <v>80</v>
      </c>
      <c r="H6" s="3">
        <f t="shared" si="1"/>
        <v>5.7890694437586344E-4</v>
      </c>
      <c r="I6" s="1">
        <f t="shared" si="2"/>
        <v>6.2891344721397721E-2</v>
      </c>
      <c r="M6" t="s">
        <v>8</v>
      </c>
      <c r="N6">
        <v>80</v>
      </c>
      <c r="O6" s="1">
        <f t="shared" si="3"/>
        <v>8.7912087912087919E-2</v>
      </c>
    </row>
    <row r="7" spans="1:15" x14ac:dyDescent="0.25">
      <c r="A7">
        <v>6</v>
      </c>
      <c r="B7" t="s">
        <v>9</v>
      </c>
      <c r="C7">
        <v>1158710</v>
      </c>
      <c r="D7" s="1">
        <f t="shared" si="4"/>
        <v>0.93739103843456162</v>
      </c>
      <c r="E7" s="1">
        <f t="shared" si="0"/>
        <v>6.2608961565438381E-2</v>
      </c>
      <c r="F7" s="2">
        <v>6.2608961565438381E-2</v>
      </c>
      <c r="G7">
        <v>88</v>
      </c>
      <c r="H7" s="3">
        <f t="shared" si="1"/>
        <v>7.1146547233452706E-4</v>
      </c>
      <c r="I7" s="1">
        <f t="shared" si="2"/>
        <v>7.7292250011275487E-2</v>
      </c>
      <c r="M7" t="s">
        <v>9</v>
      </c>
      <c r="N7">
        <v>88</v>
      </c>
      <c r="O7" s="1">
        <f t="shared" si="3"/>
        <v>9.6703296703296707E-2</v>
      </c>
    </row>
    <row r="8" spans="1:15" x14ac:dyDescent="0.25">
      <c r="A8">
        <v>7</v>
      </c>
      <c r="B8" t="s">
        <v>10</v>
      </c>
      <c r="C8">
        <v>1107995</v>
      </c>
      <c r="D8" s="1">
        <f t="shared" si="4"/>
        <v>0.95623149882196579</v>
      </c>
      <c r="E8" s="1">
        <f t="shared" si="0"/>
        <v>4.3768501178034214E-2</v>
      </c>
      <c r="F8" s="2">
        <v>4.3768501178034214E-2</v>
      </c>
      <c r="G8">
        <v>72</v>
      </c>
      <c r="H8" s="3">
        <f t="shared" si="1"/>
        <v>6.0789584969491968E-4</v>
      </c>
      <c r="I8" s="1">
        <f t="shared" si="2"/>
        <v>6.6040644026283957E-2</v>
      </c>
      <c r="M8" t="s">
        <v>10</v>
      </c>
      <c r="N8">
        <v>72</v>
      </c>
      <c r="O8" s="1">
        <f t="shared" si="3"/>
        <v>7.9120879120879117E-2</v>
      </c>
    </row>
    <row r="9" spans="1:15" x14ac:dyDescent="0.25">
      <c r="A9">
        <v>8</v>
      </c>
      <c r="B9" t="s">
        <v>11</v>
      </c>
      <c r="C9">
        <v>1058708</v>
      </c>
      <c r="D9" s="1">
        <f t="shared" si="4"/>
        <v>0.955516947278643</v>
      </c>
      <c r="E9" s="1">
        <f t="shared" si="0"/>
        <v>4.4483052721356997E-2</v>
      </c>
      <c r="F9" s="2">
        <v>4.4483052721356997E-2</v>
      </c>
      <c r="G9">
        <v>51</v>
      </c>
      <c r="H9" s="3">
        <f t="shared" si="1"/>
        <v>8.7221672002660777E-4</v>
      </c>
      <c r="I9" s="1">
        <f t="shared" si="2"/>
        <v>9.4755958524734729E-2</v>
      </c>
      <c r="M9" t="s">
        <v>11</v>
      </c>
      <c r="N9">
        <v>51</v>
      </c>
      <c r="O9" s="1">
        <f t="shared" si="3"/>
        <v>5.6043956043956046E-2</v>
      </c>
    </row>
    <row r="10" spans="1:15" x14ac:dyDescent="0.25">
      <c r="A10">
        <v>9</v>
      </c>
      <c r="B10" t="s">
        <v>12</v>
      </c>
      <c r="C10">
        <v>1019950</v>
      </c>
      <c r="D10" s="1">
        <f t="shared" si="4"/>
        <v>0.96339122779841091</v>
      </c>
      <c r="E10" s="1">
        <f t="shared" si="0"/>
        <v>3.660877220158909E-2</v>
      </c>
      <c r="F10" s="2">
        <v>3.660877220158909E-2</v>
      </c>
      <c r="G10">
        <v>41</v>
      </c>
      <c r="H10" s="3">
        <f t="shared" si="1"/>
        <v>8.9289688296558759E-4</v>
      </c>
      <c r="I10" s="1">
        <f t="shared" si="2"/>
        <v>9.700261192719524E-2</v>
      </c>
      <c r="M10" t="s">
        <v>12</v>
      </c>
      <c r="N10">
        <v>41</v>
      </c>
      <c r="O10" s="1">
        <f t="shared" si="3"/>
        <v>4.5054945054945054E-2</v>
      </c>
    </row>
    <row r="11" spans="1:15" x14ac:dyDescent="0.25">
      <c r="A11">
        <v>10</v>
      </c>
      <c r="B11" t="s">
        <v>13</v>
      </c>
      <c r="C11">
        <v>965236</v>
      </c>
      <c r="D11" s="1">
        <f t="shared" si="4"/>
        <v>0.94635619393107506</v>
      </c>
      <c r="E11" s="1">
        <f t="shared" si="0"/>
        <v>5.3643806068924937E-2</v>
      </c>
      <c r="F11" s="2">
        <v>5.3643806068924937E-2</v>
      </c>
      <c r="G11">
        <v>70</v>
      </c>
      <c r="H11" s="3">
        <f t="shared" si="1"/>
        <v>7.6634008669892767E-4</v>
      </c>
      <c r="I11" s="1">
        <f t="shared" si="2"/>
        <v>8.325372330499467E-2</v>
      </c>
      <c r="M11" t="s">
        <v>13</v>
      </c>
      <c r="N11">
        <v>70</v>
      </c>
      <c r="O11" s="1">
        <f t="shared" si="3"/>
        <v>7.6923076923076927E-2</v>
      </c>
    </row>
    <row r="12" spans="1:15" x14ac:dyDescent="0.25">
      <c r="A12">
        <v>11</v>
      </c>
      <c r="B12" t="s">
        <v>14</v>
      </c>
      <c r="C12">
        <v>954364</v>
      </c>
      <c r="D12" s="1">
        <f t="shared" si="4"/>
        <v>0.98873643336966299</v>
      </c>
      <c r="E12" s="1">
        <f t="shared" si="0"/>
        <v>1.1263566630337007E-2</v>
      </c>
      <c r="F12" s="2">
        <v>1.1263566630337007E-2</v>
      </c>
      <c r="G12">
        <v>37</v>
      </c>
      <c r="H12" s="3">
        <f t="shared" si="1"/>
        <v>3.0442071973883804E-4</v>
      </c>
      <c r="I12" s="1">
        <f t="shared" si="2"/>
        <v>3.3071685547100341E-2</v>
      </c>
      <c r="M12" t="s">
        <v>14</v>
      </c>
      <c r="N12">
        <v>37</v>
      </c>
      <c r="O12" s="1">
        <f t="shared" si="3"/>
        <v>4.0659340659340661E-2</v>
      </c>
    </row>
    <row r="13" spans="1:15" x14ac:dyDescent="0.25">
      <c r="A13">
        <v>12</v>
      </c>
      <c r="B13" t="s">
        <v>15</v>
      </c>
      <c r="C13">
        <v>933505</v>
      </c>
      <c r="D13" s="1">
        <f t="shared" si="4"/>
        <v>0.97814355948044984</v>
      </c>
      <c r="E13" s="1">
        <f t="shared" si="0"/>
        <v>2.1856440519550158E-2</v>
      </c>
      <c r="F13" s="2">
        <v>2.1856440519550158E-2</v>
      </c>
      <c r="G13">
        <v>47</v>
      </c>
      <c r="H13" s="3">
        <f t="shared" si="1"/>
        <v>4.65030649352131E-4</v>
      </c>
      <c r="I13" s="1">
        <f t="shared" si="2"/>
        <v>5.0520041534398416E-2</v>
      </c>
      <c r="M13" t="s">
        <v>15</v>
      </c>
      <c r="N13">
        <v>47</v>
      </c>
      <c r="O13" s="1">
        <f t="shared" si="3"/>
        <v>5.1648351648351645E-2</v>
      </c>
    </row>
    <row r="14" spans="1:15" x14ac:dyDescent="0.25">
      <c r="A14">
        <v>13</v>
      </c>
      <c r="B14" t="s">
        <v>16</v>
      </c>
      <c r="C14">
        <v>904647</v>
      </c>
      <c r="D14" s="1">
        <f t="shared" si="4"/>
        <v>0.96908640017996694</v>
      </c>
      <c r="E14" s="1">
        <f t="shared" si="0"/>
        <v>3.0913599820033055E-2</v>
      </c>
      <c r="F14" s="2">
        <v>3.0913599820033055E-2</v>
      </c>
      <c r="G14">
        <v>70</v>
      </c>
      <c r="H14" s="3">
        <f t="shared" si="1"/>
        <v>4.4162285457190079E-4</v>
      </c>
      <c r="I14" s="1">
        <f t="shared" si="2"/>
        <v>4.797706341849698E-2</v>
      </c>
      <c r="M14" t="s">
        <v>16</v>
      </c>
      <c r="N14">
        <v>70</v>
      </c>
      <c r="O14" s="1">
        <f t="shared" si="3"/>
        <v>7.6923076923076927E-2</v>
      </c>
    </row>
    <row r="15" spans="1:15" x14ac:dyDescent="0.25">
      <c r="A15">
        <v>14</v>
      </c>
      <c r="B15" t="s">
        <v>17</v>
      </c>
      <c r="C15">
        <v>864732</v>
      </c>
      <c r="D15" s="1">
        <f t="shared" si="4"/>
        <v>0.95587781753545853</v>
      </c>
      <c r="E15" s="1">
        <f t="shared" si="0"/>
        <v>4.4122182464541471E-2</v>
      </c>
      <c r="F15" s="2">
        <v>4.4122182464541471E-2</v>
      </c>
      <c r="G15">
        <v>61</v>
      </c>
      <c r="H15" s="3">
        <f t="shared" si="1"/>
        <v>7.2331446663182744E-4</v>
      </c>
      <c r="I15" s="1">
        <f t="shared" si="2"/>
        <v>7.8579502120086894E-2</v>
      </c>
      <c r="M15" t="s">
        <v>17</v>
      </c>
      <c r="N15">
        <v>61</v>
      </c>
      <c r="O15" s="1">
        <f t="shared" si="3"/>
        <v>6.7032967032967031E-2</v>
      </c>
    </row>
    <row r="16" spans="1:15" x14ac:dyDescent="0.25">
      <c r="A16">
        <v>15</v>
      </c>
      <c r="B16" t="s">
        <v>18</v>
      </c>
      <c r="C16">
        <v>838141</v>
      </c>
      <c r="D16" s="1">
        <f t="shared" si="4"/>
        <v>0.96924943219402082</v>
      </c>
      <c r="E16" s="1">
        <f t="shared" si="0"/>
        <v>3.0750567805979179E-2</v>
      </c>
      <c r="F16" s="2">
        <v>3.0750567805979179E-2</v>
      </c>
      <c r="G16">
        <v>74</v>
      </c>
      <c r="H16" s="3">
        <f t="shared" si="1"/>
        <v>4.155482135943132E-4</v>
      </c>
      <c r="I16" s="1">
        <f t="shared" si="2"/>
        <v>4.5144364225406228E-2</v>
      </c>
      <c r="M16" t="s">
        <v>18</v>
      </c>
      <c r="N16">
        <v>74</v>
      </c>
      <c r="O16" s="1">
        <f t="shared" si="3"/>
        <v>8.1318681318681321E-2</v>
      </c>
    </row>
    <row r="17" spans="5:14" x14ac:dyDescent="0.25">
      <c r="E17" s="1"/>
      <c r="F17" s="2"/>
      <c r="H17" s="2">
        <f>SUM(H2:H16)</f>
        <v>9.204874644362631E-3</v>
      </c>
      <c r="I17" s="2">
        <f>SUM(I2:I16)</f>
        <v>1</v>
      </c>
      <c r="N17">
        <f>SUM(N2:N16)</f>
        <v>910</v>
      </c>
    </row>
    <row r="18" spans="5:14" x14ac:dyDescent="0.25">
      <c r="E18" s="1"/>
      <c r="F18" s="2"/>
    </row>
    <row r="19" spans="5:14" x14ac:dyDescent="0.25">
      <c r="E19" s="1"/>
      <c r="F19" s="2"/>
    </row>
    <row r="20" spans="5:14" x14ac:dyDescent="0.25">
      <c r="E20" s="1"/>
      <c r="F20" s="2"/>
    </row>
    <row r="21" spans="5:14" x14ac:dyDescent="0.25">
      <c r="E21" s="1"/>
      <c r="F21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 Marshall (Hangar 13 Games)</dc:creator>
  <cp:lastModifiedBy>Jak Marshall (Hangar 13 Games)</cp:lastModifiedBy>
  <dcterms:created xsi:type="dcterms:W3CDTF">2015-06-05T18:17:20Z</dcterms:created>
  <dcterms:modified xsi:type="dcterms:W3CDTF">2025-09-09T13:46:45Z</dcterms:modified>
</cp:coreProperties>
</file>